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ce Salera\Desktop\"/>
    </mc:Choice>
  </mc:AlternateContent>
  <xr:revisionPtr revIDLastSave="0" documentId="8_{F8484708-9D6B-4490-B62F-E659ECBD7EE6}" xr6:coauthVersionLast="47" xr6:coauthVersionMax="47" xr10:uidLastSave="{00000000-0000-0000-0000-000000000000}"/>
  <bookViews>
    <workbookView xWindow="-108" yWindow="-108" windowWidth="23256" windowHeight="12576" xr2:uid="{3A4123D1-FC5B-4075-808B-B4D9E75C3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3" i="1"/>
  <c r="D33" i="1"/>
  <c r="D32" i="1"/>
  <c r="D31" i="1"/>
  <c r="F30" i="1"/>
  <c r="D30" i="1"/>
  <c r="F29" i="1"/>
  <c r="D29" i="1"/>
  <c r="G23" i="1"/>
  <c r="G22" i="1"/>
  <c r="G21" i="1"/>
  <c r="G20" i="1"/>
  <c r="G19" i="1"/>
  <c r="G18" i="1"/>
  <c r="G17" i="1"/>
  <c r="G16" i="1"/>
  <c r="E17" i="1"/>
  <c r="E18" i="1"/>
  <c r="E19" i="1"/>
  <c r="E20" i="1"/>
  <c r="E21" i="1"/>
  <c r="E22" i="1"/>
  <c r="E23" i="1"/>
  <c r="E16" i="1"/>
  <c r="D17" i="1"/>
  <c r="D18" i="1"/>
  <c r="D19" i="1"/>
  <c r="D20" i="1"/>
  <c r="D21" i="1"/>
  <c r="D22" i="1"/>
  <c r="D23" i="1"/>
  <c r="D16" i="1"/>
  <c r="H5" i="1"/>
  <c r="J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<sst xmlns="http://schemas.openxmlformats.org/spreadsheetml/2006/main" count="21" uniqueCount="19">
  <si>
    <t>a</t>
  </si>
  <si>
    <t>b</t>
  </si>
  <si>
    <t>p</t>
  </si>
  <si>
    <t>N</t>
  </si>
  <si>
    <t>hash function</t>
  </si>
  <si>
    <t>linear</t>
  </si>
  <si>
    <t>quadratic</t>
  </si>
  <si>
    <t>hashfunction</t>
  </si>
  <si>
    <t>q - (k mod q)</t>
  </si>
  <si>
    <t>double hashing</t>
  </si>
  <si>
    <t>k</t>
  </si>
  <si>
    <t>q</t>
  </si>
  <si>
    <t>i</t>
  </si>
  <si>
    <t>hi</t>
  </si>
  <si>
    <t>chaining</t>
  </si>
  <si>
    <t>good</t>
  </si>
  <si>
    <t>bad</t>
  </si>
  <si>
    <t>fly</t>
  </si>
  <si>
    <t>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</si>
</sst>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5DDE-C423-40AA-ADFA-BD10EB0A69F9}">
  <dimension ref="B3:L33"/>
  <sheetViews>
    <sheetView tabSelected="1" workbookViewId="0">
      <selection activeCell="C30" sqref="C30"/>
    </sheetView>
  </sheetViews>
  <sheetFormatPr defaultRowHeight="14.4" x14ac:dyDescent="0.3"/>
  <cols>
    <col min="4" max="4" width="16.33203125" customWidth="1"/>
    <col min="5" max="5" width="12.44140625" customWidth="1"/>
    <col min="7" max="7" width="15.109375" customWidth="1"/>
    <col min="8" max="8" width="21.77734375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  <c r="F3" t="s">
        <v>11</v>
      </c>
    </row>
    <row r="4" spans="2:12" x14ac:dyDescent="0.3">
      <c r="B4">
        <v>13</v>
      </c>
      <c r="C4">
        <v>7</v>
      </c>
      <c r="D4">
        <v>31</v>
      </c>
      <c r="E4">
        <v>11</v>
      </c>
      <c r="F4">
        <v>5</v>
      </c>
      <c r="H4" t="s">
        <v>4</v>
      </c>
      <c r="J4" t="s">
        <v>5</v>
      </c>
      <c r="L4" t="s">
        <v>6</v>
      </c>
    </row>
    <row r="5" spans="2:12" x14ac:dyDescent="0.3">
      <c r="G5">
        <v>17</v>
      </c>
      <c r="H5">
        <f>MOD(MOD($B$4*G5+$C$4, $D$4), $E$4)</f>
        <v>0</v>
      </c>
      <c r="J5">
        <f>MOD(MOD($B$4*G5+$C$4, $D$4), $E$4)</f>
        <v>0</v>
      </c>
      <c r="L5">
        <v>0</v>
      </c>
    </row>
    <row r="6" spans="2:12" x14ac:dyDescent="0.3">
      <c r="G6">
        <v>20</v>
      </c>
      <c r="H6">
        <f t="shared" ref="H6:H12" si="0">MOD(MOD($B$4*G6+$C$4, $D$4), $E$4)</f>
        <v>8</v>
      </c>
      <c r="J6">
        <v>8</v>
      </c>
      <c r="L6">
        <v>8</v>
      </c>
    </row>
    <row r="7" spans="2:12" x14ac:dyDescent="0.3">
      <c r="G7">
        <v>12</v>
      </c>
      <c r="H7">
        <f t="shared" si="0"/>
        <v>8</v>
      </c>
      <c r="J7">
        <v>9</v>
      </c>
      <c r="L7">
        <v>9</v>
      </c>
    </row>
    <row r="8" spans="2:12" x14ac:dyDescent="0.3">
      <c r="G8">
        <v>29</v>
      </c>
      <c r="H8">
        <f t="shared" si="0"/>
        <v>1</v>
      </c>
      <c r="J8">
        <v>1</v>
      </c>
      <c r="L8">
        <v>1</v>
      </c>
    </row>
    <row r="9" spans="2:12" x14ac:dyDescent="0.3">
      <c r="G9">
        <v>79</v>
      </c>
      <c r="H9">
        <f t="shared" si="0"/>
        <v>0</v>
      </c>
      <c r="J9">
        <v>2</v>
      </c>
      <c r="L9">
        <v>4</v>
      </c>
    </row>
    <row r="10" spans="2:12" x14ac:dyDescent="0.3">
      <c r="G10">
        <v>51</v>
      </c>
      <c r="H10">
        <f t="shared" si="0"/>
        <v>8</v>
      </c>
      <c r="J10">
        <v>10</v>
      </c>
      <c r="L10">
        <v>6</v>
      </c>
    </row>
    <row r="11" spans="2:12" x14ac:dyDescent="0.3">
      <c r="G11">
        <v>13</v>
      </c>
      <c r="H11">
        <f t="shared" si="0"/>
        <v>10</v>
      </c>
      <c r="J11">
        <v>3</v>
      </c>
      <c r="L11">
        <v>10</v>
      </c>
    </row>
    <row r="12" spans="2:12" x14ac:dyDescent="0.3">
      <c r="G12">
        <v>59</v>
      </c>
      <c r="H12">
        <f t="shared" si="0"/>
        <v>8</v>
      </c>
      <c r="J12">
        <v>4</v>
      </c>
      <c r="L12">
        <v>2</v>
      </c>
    </row>
    <row r="15" spans="2:12" x14ac:dyDescent="0.3">
      <c r="C15" t="s">
        <v>10</v>
      </c>
      <c r="D15" t="s">
        <v>7</v>
      </c>
      <c r="E15" t="s">
        <v>8</v>
      </c>
      <c r="G15" t="s">
        <v>9</v>
      </c>
      <c r="I15" t="s">
        <v>12</v>
      </c>
    </row>
    <row r="16" spans="2:12" x14ac:dyDescent="0.3">
      <c r="C16">
        <v>17</v>
      </c>
      <c r="D16">
        <f>MOD(MOD($B$4*G5+$C$4, $D$4), $E$4)</f>
        <v>0</v>
      </c>
      <c r="E16">
        <f>$F$4-MOD(C16,$F$4)</f>
        <v>3</v>
      </c>
      <c r="G16">
        <f>MOD(D16+(I16*E16), $E$4)</f>
        <v>0</v>
      </c>
      <c r="I16">
        <v>0</v>
      </c>
    </row>
    <row r="17" spans="2:9" x14ac:dyDescent="0.3">
      <c r="C17">
        <v>20</v>
      </c>
      <c r="D17">
        <f t="shared" ref="D17:D23" si="1">MOD(MOD($B$4*G6+$C$4, $D$4), $E$4)</f>
        <v>8</v>
      </c>
      <c r="E17">
        <f t="shared" ref="E17:E23" si="2">$F$4-MOD(C17,$F$4)</f>
        <v>5</v>
      </c>
      <c r="G17">
        <f>MOD(D17+(I16*E17), $E$4)</f>
        <v>8</v>
      </c>
      <c r="I17">
        <v>1</v>
      </c>
    </row>
    <row r="18" spans="2:9" x14ac:dyDescent="0.3">
      <c r="C18">
        <v>12</v>
      </c>
      <c r="D18">
        <f t="shared" si="1"/>
        <v>8</v>
      </c>
      <c r="E18">
        <f t="shared" si="2"/>
        <v>3</v>
      </c>
      <c r="G18">
        <f>MOD(D18+(I18*E18), $E$4)</f>
        <v>3</v>
      </c>
      <c r="I18">
        <v>2</v>
      </c>
    </row>
    <row r="19" spans="2:9" x14ac:dyDescent="0.3">
      <c r="C19">
        <v>29</v>
      </c>
      <c r="D19">
        <f t="shared" si="1"/>
        <v>1</v>
      </c>
      <c r="E19">
        <f t="shared" si="2"/>
        <v>1</v>
      </c>
      <c r="G19">
        <f>MOD(D19+(I16*E19), $E$4)</f>
        <v>1</v>
      </c>
      <c r="I19">
        <v>3</v>
      </c>
    </row>
    <row r="20" spans="2:9" x14ac:dyDescent="0.3">
      <c r="C20">
        <v>79</v>
      </c>
      <c r="D20">
        <f t="shared" si="1"/>
        <v>0</v>
      </c>
      <c r="E20">
        <f t="shared" si="2"/>
        <v>1</v>
      </c>
      <c r="G20">
        <f>MOD(D20+(I19*E20), $E$4)</f>
        <v>3</v>
      </c>
      <c r="I20">
        <v>4</v>
      </c>
    </row>
    <row r="21" spans="2:9" x14ac:dyDescent="0.3">
      <c r="C21">
        <v>51</v>
      </c>
      <c r="D21">
        <f t="shared" si="1"/>
        <v>8</v>
      </c>
      <c r="E21">
        <f t="shared" si="2"/>
        <v>4</v>
      </c>
      <c r="G21">
        <f>MOD(D21+(I18*E21), $E$4)</f>
        <v>5</v>
      </c>
      <c r="I21">
        <v>5</v>
      </c>
    </row>
    <row r="22" spans="2:9" x14ac:dyDescent="0.3">
      <c r="C22">
        <v>13</v>
      </c>
      <c r="D22">
        <f t="shared" si="1"/>
        <v>10</v>
      </c>
      <c r="E22">
        <f t="shared" si="2"/>
        <v>2</v>
      </c>
      <c r="G22">
        <f>MOD(D22+(I16*E22), $E$4)</f>
        <v>10</v>
      </c>
      <c r="I22">
        <v>6</v>
      </c>
    </row>
    <row r="23" spans="2:9" x14ac:dyDescent="0.3">
      <c r="C23">
        <v>59</v>
      </c>
      <c r="D23">
        <f t="shared" si="1"/>
        <v>8</v>
      </c>
      <c r="E23">
        <f t="shared" si="2"/>
        <v>1</v>
      </c>
      <c r="G23">
        <f>MOD(D23+(I17*E23), $E$4)</f>
        <v>9</v>
      </c>
      <c r="I23">
        <v>7</v>
      </c>
    </row>
    <row r="24" spans="2:9" x14ac:dyDescent="0.3">
      <c r="I24">
        <v>8</v>
      </c>
    </row>
    <row r="25" spans="2:9" x14ac:dyDescent="0.3">
      <c r="B25" t="s">
        <v>0</v>
      </c>
      <c r="C25" t="s">
        <v>3</v>
      </c>
      <c r="I25">
        <v>9</v>
      </c>
    </row>
    <row r="26" spans="2:9" x14ac:dyDescent="0.3">
      <c r="B26">
        <v>3</v>
      </c>
      <c r="C26">
        <v>7</v>
      </c>
    </row>
    <row r="28" spans="2:9" x14ac:dyDescent="0.3">
      <c r="F28" t="s">
        <v>14</v>
      </c>
    </row>
    <row r="29" spans="2:9" x14ac:dyDescent="0.3">
      <c r="C29" t="s">
        <v>13</v>
      </c>
      <c r="D29">
        <f>(8*B26^1) + (9*B26^0)</f>
        <v>33</v>
      </c>
      <c r="F29">
        <f>MOD(D29,$C$26)</f>
        <v>5</v>
      </c>
    </row>
    <row r="30" spans="2:9" x14ac:dyDescent="0.3">
      <c r="C30" t="s">
        <v>15</v>
      </c>
      <c r="D30">
        <f>(7*B26^3)+(15*B26^2)+(15*B26^1)+(4*B26^0)</f>
        <v>373</v>
      </c>
      <c r="F30">
        <f>MOD(D30,$C$26)</f>
        <v>2</v>
      </c>
    </row>
    <row r="31" spans="2:9" x14ac:dyDescent="0.3">
      <c r="C31" t="s">
        <v>16</v>
      </c>
      <c r="D31">
        <f>(2*B26^2) + (1*B26^1) +(4*B26^0)</f>
        <v>25</v>
      </c>
      <c r="F31">
        <f t="shared" ref="F31:F33" si="3">MOD(D31,$C$26)</f>
        <v>4</v>
      </c>
    </row>
    <row r="32" spans="2:9" x14ac:dyDescent="0.3">
      <c r="C32" t="s">
        <v>17</v>
      </c>
      <c r="D32">
        <f>(6*B26^2) + (12*B26^1) +(25*B26^0)</f>
        <v>115</v>
      </c>
      <c r="F32">
        <f t="shared" si="3"/>
        <v>3</v>
      </c>
    </row>
    <row r="33" spans="3:6" x14ac:dyDescent="0.3">
      <c r="C33" t="s">
        <v>18</v>
      </c>
      <c r="D33">
        <f>(4*B26^2) + (1*B26^1) +(2*B26^0)</f>
        <v>41</v>
      </c>
      <c r="F33">
        <f t="shared" si="3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Salera</dc:creator>
  <cp:lastModifiedBy>Lance Salera</cp:lastModifiedBy>
  <dcterms:created xsi:type="dcterms:W3CDTF">2023-04-26T14:20:53Z</dcterms:created>
  <dcterms:modified xsi:type="dcterms:W3CDTF">2023-04-26T17:46:37Z</dcterms:modified>
</cp:coreProperties>
</file>